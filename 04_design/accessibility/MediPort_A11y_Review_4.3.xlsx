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<sst xmlns="http://schemas.openxmlformats.org/spreadsheetml/2006/main" count="106" uniqueCount="93">
  <si>
    <t xml:space="preserve">MediPort Accessibility Review — Tracker task 4.3 (hi-fi screens)</t>
  </si>
  <si>
    <t xml:space="preserve">HOW TO USE — Edit only the white screen cells (dropdown: ✓ Pass / ✗ Fail / — N/A) and the Notes column. Row 5 (H1) is prefilled as an EXAMPLE — overwrite it with real findings. Fails feed the 5.2 P0/P1 fix list. Companion doc: MediPort_Accessibility_Checklist.md. Reviewer: Echo · Week 4 (Aug 10–16, 2026).</t>
  </si>
  <si>
    <t xml:space="preserve">ID</t>
  </si>
  <si>
    <t xml:space="preserve">Check</t>
  </si>
  <si>
    <t xml:space="preserve">WCAG 2.2</t>
  </si>
  <si>
    <t xml:space="preserve">Onboarding</t>
  </si>
  <si>
    <t xml:space="preserve">Home</t>
  </si>
  <si>
    <t xml:space="preserve">Log Event</t>
  </si>
  <si>
    <t xml:space="preserve">Timeline</t>
  </si>
  <si>
    <t xml:space="preserve">Generate Summary</t>
  </si>
  <si>
    <t xml:space="preserve">Summary view</t>
  </si>
  <si>
    <t xml:space="preserve">Notes / fix</t>
  </si>
  <si>
    <t xml:space="preserve">1 · HEAR — design for eyes, not ears</t>
  </si>
  <si>
    <t xml:space="preserve">H1</t>
  </si>
  <si>
    <t xml:space="preserve">Nothing depends on sound alone: every alert/confirmation/error has a visual (and haptic) equivalent</t>
  </si>
  <si>
    <t xml:space="preserve">1.3.3 A</t>
  </si>
  <si>
    <t xml:space="preserve">✓ Pass</t>
  </si>
  <si>
    <t xml:space="preserve">✗ Fail</t>
  </si>
  <si>
    <t xml:space="preserve">— N/A</t>
  </si>
  <si>
    <t xml:space="preserve">EXAMPLE — Log Event success toast is sound/vibration only; add inline visual confirmation. Replace this row with real findings.</t>
  </si>
  <si>
    <t xml:space="preserve">H2</t>
  </si>
  <si>
    <t xml:space="preserve">Any video or audio content ships with captions or a transcript</t>
  </si>
  <si>
    <t xml:space="preserve">1.2.2 A</t>
  </si>
  <si>
    <t xml:space="preserve">H3</t>
  </si>
  <si>
    <t xml:space="preserve">All contact / help paths offer a text channel — never phone-call-only</t>
  </si>
  <si>
    <t xml:space="preserve">principle</t>
  </si>
  <si>
    <t xml:space="preserve">H4</t>
  </si>
  <si>
    <t xml:space="preserve">Summary view legible at arm's length for tap-to-answer in clinic</t>
  </si>
  <si>
    <t xml:space="preserve">product</t>
  </si>
  <si>
    <t xml:space="preserve">2 · SEE — high contrast, generous type</t>
  </si>
  <si>
    <t xml:space="preserve">S1</t>
  </si>
  <si>
    <t xml:space="preserve">Text contrast ≥ 4.5:1; icons and UI components ≥ 3:1</t>
  </si>
  <si>
    <t xml:space="preserve">1.4.3/1.4.11 AA</t>
  </si>
  <si>
    <t xml:space="preserve">S2</t>
  </si>
  <si>
    <t xml:space="preserve">Layout survives 200% text size without loss or 2-D scrolling</t>
  </si>
  <si>
    <t xml:space="preserve">1.4.4/1.4.10 AA</t>
  </si>
  <si>
    <t xml:space="preserve">S3</t>
  </si>
  <si>
    <t xml:space="preserve">Color never carries meaning alone — pair with icon, label, or pattern</t>
  </si>
  <si>
    <t xml:space="preserve">1.4.1 A</t>
  </si>
  <si>
    <t xml:space="preserve">S4</t>
  </si>
  <si>
    <t xml:space="preserve">Body text ≥ 16 sp, clean typeface, no all-caps blocks, no text in images</t>
  </si>
  <si>
    <t xml:space="preserve">practice</t>
  </si>
  <si>
    <t xml:space="preserve">S5</t>
  </si>
  <si>
    <t xml:space="preserve">Meaningful images/icons have alt text conveying meaning, not appearance</t>
  </si>
  <si>
    <t xml:space="preserve">1.1.1 A</t>
  </si>
  <si>
    <t xml:space="preserve">3 · TOUCH — big targets, no tricky gestures</t>
  </si>
  <si>
    <t xml:space="preserve">T1</t>
  </si>
  <si>
    <t xml:space="preserve">Touch targets ≥ 48×48 dp with spacing between them</t>
  </si>
  <si>
    <t xml:space="preserve">2.5.8 AA</t>
  </si>
  <si>
    <t xml:space="preserve">T2</t>
  </si>
  <si>
    <t xml:space="preserve">No drag-only or multi-finger-only actions — plain-tap alternative exists</t>
  </si>
  <si>
    <t xml:space="preserve">2.5.7/2.5.1</t>
  </si>
  <si>
    <t xml:space="preserve">T3</t>
  </si>
  <si>
    <t xml:space="preserve">Actions trigger on release and can be cancelled by sliding away</t>
  </si>
  <si>
    <t xml:space="preserve">2.5.2 A</t>
  </si>
  <si>
    <t xml:space="preserve">T4</t>
  </si>
  <si>
    <t xml:space="preserve">Never requires shaking or tilting the device</t>
  </si>
  <si>
    <t xml:space="preserve">2.5.4 A</t>
  </si>
  <si>
    <t xml:space="preserve">T5</t>
  </si>
  <si>
    <t xml:space="preserve">Typing minimized: pickers, defaults, reuse of previously entered info</t>
  </si>
  <si>
    <t xml:space="preserve">3.3.7 A</t>
  </si>
  <si>
    <t xml:space="preserve">4 · STEADY — calm motion, no rush</t>
  </si>
  <si>
    <t xml:space="preserve">M1</t>
  </si>
  <si>
    <t xml:space="preserve">Respects OS reduce-motion; no parallax, bounce, or flashing</t>
  </si>
  <si>
    <t xml:space="preserve">2.3.1 A</t>
  </si>
  <si>
    <t xml:space="preserve">M2</t>
  </si>
  <si>
    <t xml:space="preserve">Anything moving &gt; 5 s can be paused or stopped</t>
  </si>
  <si>
    <t xml:space="preserve">2.2.2 A</t>
  </si>
  <si>
    <t xml:space="preserve">M3</t>
  </si>
  <si>
    <t xml:space="preserve">No time limits on logging or forms</t>
  </si>
  <si>
    <t xml:space="preserve">2.2.1 A</t>
  </si>
  <si>
    <t xml:space="preserve">M4</t>
  </si>
  <si>
    <t xml:space="preserve">Errors prevented and reversible: confirm before deleting a record</t>
  </si>
  <si>
    <t xml:space="preserve">3.3.4 AA</t>
  </si>
  <si>
    <t xml:space="preserve">5 · UNDERSTAND — plain words, clear paths</t>
  </si>
  <si>
    <t xml:space="preserve">U1</t>
  </si>
  <si>
    <t xml:space="preserve">One primary task per screen; progressive disclosure for the rest</t>
  </si>
  <si>
    <t xml:space="preserve">IA</t>
  </si>
  <si>
    <t xml:space="preserve">U2</t>
  </si>
  <si>
    <t xml:space="preserve">Navigation consistent and visible; same labels everywhere (taxonomy)</t>
  </si>
  <si>
    <t xml:space="preserve">3.2.3 AA</t>
  </si>
  <si>
    <t xml:space="preserve">U3</t>
  </si>
  <si>
    <t xml:space="preserve">Headings/titles make sense read alone; heading levels never skip</t>
  </si>
  <si>
    <t xml:space="preserve">2.4.6 AA</t>
  </si>
  <si>
    <t xml:space="preserve">U4</t>
  </si>
  <si>
    <t xml:space="preserve">Form fields have persistent labels and format hints — never placeholder-only</t>
  </si>
  <si>
    <t xml:space="preserve">3.3.2 A</t>
  </si>
  <si>
    <t xml:space="preserve">U5</t>
  </si>
  <si>
    <t xml:space="preserve">Plain language for medical terms; mirrors clinicians' wording in Summary</t>
  </si>
  <si>
    <t xml:space="preserve">Review summary — live counts (auto-updates as Review sheet is filled)</t>
  </si>
  <si>
    <t xml:space="preserve">Screen</t>
  </si>
  <si>
    <t xml:space="preserve">Unchecked</t>
  </si>
  <si>
    <t xml:space="preserve">Total checks per screen: 23. Note: pillar section rows are excluded from counts (counts read rows 5–31 of the Review sheet, blank section rows count nothing).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</si>
</sst>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2D2D"/>
        <bgColor rgb="FF1A1A1A"/>
      </patternFill>
    </fill>
    <fill>
      <patternFill patternType="solid">
        <fgColor rgb="FFE8F0FE"/>
        <bgColor rgb="FFE6F4EA"/>
      </patternFill>
    </fill>
    <fill>
      <patternFill patternType="solid">
        <fgColor rgb="FFE6F4EA"/>
        <bgColor rgb="FFE8F0FE"/>
      </patternFill>
    </fill>
    <fill>
      <patternFill patternType="solid">
        <fgColor rgb="FFFEF7E0"/>
        <bgColor rgb="FFFCE8E6"/>
      </patternFill>
    </fill>
    <fill>
      <patternFill patternType="solid">
        <fgColor rgb="FFFCE8E6"/>
        <bgColor rgb="FFF3E8FD"/>
      </patternFill>
    </fill>
    <fill>
      <patternFill patternType="solid">
        <fgColor rgb="FFF3E8FD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EF7E0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3E8FD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993300"/>
      <rgbColor rgb="FF993366"/>
      <rgbColor rgb="FF555555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3"/>
    <col collapsed="false" customWidth="true" hidden="false" outlineLevel="0" max="9" min="4" style="0" width="12"/>
    <col collapsed="false" customWidth="true" hidden="false" outlineLevel="0" max="10" min="10" style="0" width="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2.8" hidden="false" customHeight="false" outlineLevel="0" collapsed="false">
      <c r="A5" s="5" t="s">
        <v>13</v>
      </c>
      <c r="B5" s="6" t="s">
        <v>14</v>
      </c>
      <c r="C5" s="7" t="s">
        <v>15</v>
      </c>
      <c r="D5" s="8" t="s">
        <v>16</v>
      </c>
      <c r="E5" s="8" t="s">
        <v>16</v>
      </c>
      <c r="F5" s="8" t="s">
        <v>17</v>
      </c>
      <c r="G5" s="8" t="s">
        <v>16</v>
      </c>
      <c r="H5" s="8" t="s">
        <v>18</v>
      </c>
      <c r="I5" s="8" t="s">
        <v>16</v>
      </c>
      <c r="J5" s="9" t="s">
        <v>19</v>
      </c>
    </row>
    <row r="6" customFormat="false" ht="15" hidden="false" customHeight="false" outlineLevel="0" collapsed="false">
      <c r="A6" s="5" t="s">
        <v>20</v>
      </c>
      <c r="B6" s="6" t="s">
        <v>21</v>
      </c>
      <c r="C6" s="7" t="s">
        <v>22</v>
      </c>
      <c r="D6" s="8"/>
      <c r="E6" s="8"/>
      <c r="F6" s="8"/>
      <c r="G6" s="8"/>
      <c r="H6" s="8"/>
      <c r="I6" s="8"/>
      <c r="J6" s="9"/>
    </row>
    <row r="7" customFormat="false" ht="15" hidden="false" customHeight="false" outlineLevel="0" collapsed="false">
      <c r="A7" s="5" t="s">
        <v>23</v>
      </c>
      <c r="B7" s="6" t="s">
        <v>24</v>
      </c>
      <c r="C7" s="7" t="s">
        <v>25</v>
      </c>
      <c r="D7" s="8"/>
      <c r="E7" s="8"/>
      <c r="F7" s="8"/>
      <c r="G7" s="8"/>
      <c r="H7" s="8"/>
      <c r="I7" s="8"/>
      <c r="J7" s="9"/>
    </row>
    <row r="8" customFormat="false" ht="15" hidden="false" customHeight="false" outlineLevel="0" collapsed="false">
      <c r="A8" s="5" t="s">
        <v>26</v>
      </c>
      <c r="B8" s="6" t="s">
        <v>27</v>
      </c>
      <c r="C8" s="7" t="s">
        <v>28</v>
      </c>
      <c r="D8" s="8"/>
      <c r="E8" s="8"/>
      <c r="F8" s="8"/>
      <c r="G8" s="8"/>
      <c r="H8" s="8"/>
      <c r="I8" s="8"/>
      <c r="J8" s="9"/>
    </row>
    <row r="9" customFormat="false" ht="15" hidden="false" customHeight="false" outlineLevel="0" collapsed="false">
      <c r="A9" s="10" t="s">
        <v>29</v>
      </c>
      <c r="B9" s="10"/>
      <c r="C9" s="10"/>
      <c r="D9" s="10"/>
      <c r="E9" s="10"/>
      <c r="F9" s="10"/>
      <c r="G9" s="10"/>
      <c r="H9" s="10"/>
      <c r="I9" s="10"/>
      <c r="J9" s="10"/>
    </row>
    <row r="10" customFormat="false" ht="15" hidden="false" customHeight="false" outlineLevel="0" collapsed="false">
      <c r="A10" s="5" t="s">
        <v>30</v>
      </c>
      <c r="B10" s="6" t="s">
        <v>31</v>
      </c>
      <c r="C10" s="7" t="s">
        <v>32</v>
      </c>
      <c r="D10" s="8"/>
      <c r="E10" s="8"/>
      <c r="F10" s="8"/>
      <c r="G10" s="8"/>
      <c r="H10" s="8"/>
      <c r="I10" s="8"/>
      <c r="J10" s="9"/>
    </row>
    <row r="11" customFormat="false" ht="15" hidden="false" customHeight="false" outlineLevel="0" collapsed="false">
      <c r="A11" s="5" t="s">
        <v>33</v>
      </c>
      <c r="B11" s="6" t="s">
        <v>34</v>
      </c>
      <c r="C11" s="7" t="s">
        <v>35</v>
      </c>
      <c r="D11" s="8"/>
      <c r="E11" s="8"/>
      <c r="F11" s="8"/>
      <c r="G11" s="8"/>
      <c r="H11" s="8"/>
      <c r="I11" s="8"/>
      <c r="J11" s="9"/>
    </row>
    <row r="12" customFormat="false" ht="15" hidden="false" customHeight="false" outlineLevel="0" collapsed="false">
      <c r="A12" s="5" t="s">
        <v>36</v>
      </c>
      <c r="B12" s="6" t="s">
        <v>37</v>
      </c>
      <c r="C12" s="7" t="s">
        <v>38</v>
      </c>
      <c r="D12" s="8"/>
      <c r="E12" s="8"/>
      <c r="F12" s="8"/>
      <c r="G12" s="8"/>
      <c r="H12" s="8"/>
      <c r="I12" s="8"/>
      <c r="J12" s="9"/>
    </row>
    <row r="13" customFormat="false" ht="15" hidden="false" customHeight="false" outlineLevel="0" collapsed="false">
      <c r="A13" s="5" t="s">
        <v>39</v>
      </c>
      <c r="B13" s="6" t="s">
        <v>40</v>
      </c>
      <c r="C13" s="7" t="s">
        <v>41</v>
      </c>
      <c r="D13" s="8"/>
      <c r="E13" s="8"/>
      <c r="F13" s="8"/>
      <c r="G13" s="8"/>
      <c r="H13" s="8"/>
      <c r="I13" s="8"/>
      <c r="J13" s="9"/>
    </row>
    <row r="14" customFormat="false" ht="15" hidden="false" customHeight="false" outlineLevel="0" collapsed="false">
      <c r="A14" s="5" t="s">
        <v>42</v>
      </c>
      <c r="B14" s="6" t="s">
        <v>43</v>
      </c>
      <c r="C14" s="7" t="s">
        <v>44</v>
      </c>
      <c r="D14" s="8"/>
      <c r="E14" s="8"/>
      <c r="F14" s="8"/>
      <c r="G14" s="8"/>
      <c r="H14" s="8"/>
      <c r="I14" s="8"/>
      <c r="J14" s="9"/>
    </row>
    <row r="15" customFormat="false" ht="15" hidden="false" customHeight="false" outlineLevel="0" collapsed="false">
      <c r="A15" s="11" t="s">
        <v>45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false" outlineLevel="0" collapsed="false">
      <c r="A16" s="5" t="s">
        <v>46</v>
      </c>
      <c r="B16" s="6" t="s">
        <v>47</v>
      </c>
      <c r="C16" s="7" t="s">
        <v>48</v>
      </c>
      <c r="D16" s="8"/>
      <c r="E16" s="8"/>
      <c r="F16" s="8"/>
      <c r="G16" s="8"/>
      <c r="H16" s="8"/>
      <c r="I16" s="8"/>
      <c r="J16" s="9"/>
    </row>
    <row r="17" customFormat="false" ht="15" hidden="false" customHeight="false" outlineLevel="0" collapsed="false">
      <c r="A17" s="5" t="s">
        <v>49</v>
      </c>
      <c r="B17" s="6" t="s">
        <v>50</v>
      </c>
      <c r="C17" s="7" t="s">
        <v>51</v>
      </c>
      <c r="D17" s="8"/>
      <c r="E17" s="8"/>
      <c r="F17" s="8"/>
      <c r="G17" s="8"/>
      <c r="H17" s="8"/>
      <c r="I17" s="8"/>
      <c r="J17" s="9"/>
    </row>
    <row r="18" customFormat="false" ht="15" hidden="false" customHeight="false" outlineLevel="0" collapsed="false">
      <c r="A18" s="5" t="s">
        <v>52</v>
      </c>
      <c r="B18" s="6" t="s">
        <v>53</v>
      </c>
      <c r="C18" s="7" t="s">
        <v>54</v>
      </c>
      <c r="D18" s="8"/>
      <c r="E18" s="8"/>
      <c r="F18" s="8"/>
      <c r="G18" s="8"/>
      <c r="H18" s="8"/>
      <c r="I18" s="8"/>
      <c r="J18" s="9"/>
    </row>
    <row r="19" customFormat="false" ht="15" hidden="false" customHeight="false" outlineLevel="0" collapsed="false">
      <c r="A19" s="5" t="s">
        <v>55</v>
      </c>
      <c r="B19" s="6" t="s">
        <v>56</v>
      </c>
      <c r="C19" s="7" t="s">
        <v>57</v>
      </c>
      <c r="D19" s="8"/>
      <c r="E19" s="8"/>
      <c r="F19" s="8"/>
      <c r="G19" s="8"/>
      <c r="H19" s="8"/>
      <c r="I19" s="8"/>
      <c r="J19" s="9"/>
    </row>
    <row r="20" customFormat="false" ht="15" hidden="false" customHeight="false" outlineLevel="0" collapsed="false">
      <c r="A20" s="5" t="s">
        <v>58</v>
      </c>
      <c r="B20" s="6" t="s">
        <v>59</v>
      </c>
      <c r="C20" s="7" t="s">
        <v>60</v>
      </c>
      <c r="D20" s="8"/>
      <c r="E20" s="8"/>
      <c r="F20" s="8"/>
      <c r="G20" s="8"/>
      <c r="H20" s="8"/>
      <c r="I20" s="8"/>
      <c r="J20" s="9"/>
    </row>
    <row r="21" customFormat="false" ht="15" hidden="false" customHeight="false" outlineLevel="0" collapsed="false">
      <c r="A21" s="12" t="s">
        <v>61</v>
      </c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15" hidden="false" customHeight="false" outlineLevel="0" collapsed="false">
      <c r="A22" s="5" t="s">
        <v>62</v>
      </c>
      <c r="B22" s="6" t="s">
        <v>63</v>
      </c>
      <c r="C22" s="7" t="s">
        <v>64</v>
      </c>
      <c r="D22" s="8"/>
      <c r="E22" s="8"/>
      <c r="F22" s="8"/>
      <c r="G22" s="8"/>
      <c r="H22" s="8"/>
      <c r="I22" s="8"/>
      <c r="J22" s="9"/>
    </row>
    <row r="23" customFormat="false" ht="15" hidden="false" customHeight="false" outlineLevel="0" collapsed="false">
      <c r="A23" s="5" t="s">
        <v>65</v>
      </c>
      <c r="B23" s="6" t="s">
        <v>66</v>
      </c>
      <c r="C23" s="7" t="s">
        <v>67</v>
      </c>
      <c r="D23" s="8"/>
      <c r="E23" s="8"/>
      <c r="F23" s="8"/>
      <c r="G23" s="8"/>
      <c r="H23" s="8"/>
      <c r="I23" s="8"/>
      <c r="J23" s="9"/>
    </row>
    <row r="24" customFormat="false" ht="15" hidden="false" customHeight="false" outlineLevel="0" collapsed="false">
      <c r="A24" s="5" t="s">
        <v>68</v>
      </c>
      <c r="B24" s="6" t="s">
        <v>69</v>
      </c>
      <c r="C24" s="7" t="s">
        <v>70</v>
      </c>
      <c r="D24" s="8"/>
      <c r="E24" s="8"/>
      <c r="F24" s="8"/>
      <c r="G24" s="8"/>
      <c r="H24" s="8"/>
      <c r="I24" s="8"/>
      <c r="J24" s="9"/>
    </row>
    <row r="25" customFormat="false" ht="15" hidden="false" customHeight="false" outlineLevel="0" collapsed="false">
      <c r="A25" s="5" t="s">
        <v>71</v>
      </c>
      <c r="B25" s="6" t="s">
        <v>72</v>
      </c>
      <c r="C25" s="7" t="s">
        <v>73</v>
      </c>
      <c r="D25" s="8"/>
      <c r="E25" s="8"/>
      <c r="F25" s="8"/>
      <c r="G25" s="8"/>
      <c r="H25" s="8"/>
      <c r="I25" s="8"/>
      <c r="J25" s="9"/>
    </row>
    <row r="26" customFormat="false" ht="15" hidden="false" customHeight="false" outlineLevel="0" collapsed="false">
      <c r="A26" s="13" t="s">
        <v>74</v>
      </c>
      <c r="B26" s="13"/>
      <c r="C26" s="13"/>
      <c r="D26" s="13"/>
      <c r="E26" s="13"/>
      <c r="F26" s="13"/>
      <c r="G26" s="13"/>
      <c r="H26" s="13"/>
      <c r="I26" s="13"/>
      <c r="J26" s="13"/>
    </row>
    <row r="27" customFormat="false" ht="15" hidden="false" customHeight="false" outlineLevel="0" collapsed="false">
      <c r="A27" s="5" t="s">
        <v>75</v>
      </c>
      <c r="B27" s="6" t="s">
        <v>76</v>
      </c>
      <c r="C27" s="7" t="s">
        <v>77</v>
      </c>
      <c r="D27" s="8"/>
      <c r="E27" s="8"/>
      <c r="F27" s="8"/>
      <c r="G27" s="8"/>
      <c r="H27" s="8"/>
      <c r="I27" s="8"/>
      <c r="J27" s="9"/>
    </row>
    <row r="28" customFormat="false" ht="15" hidden="false" customHeight="false" outlineLevel="0" collapsed="false">
      <c r="A28" s="5" t="s">
        <v>78</v>
      </c>
      <c r="B28" s="6" t="s">
        <v>79</v>
      </c>
      <c r="C28" s="7" t="s">
        <v>80</v>
      </c>
      <c r="D28" s="8"/>
      <c r="E28" s="8"/>
      <c r="F28" s="8"/>
      <c r="G28" s="8"/>
      <c r="H28" s="8"/>
      <c r="I28" s="8"/>
      <c r="J28" s="9"/>
    </row>
    <row r="29" customFormat="false" ht="15" hidden="false" customHeight="false" outlineLevel="0" collapsed="false">
      <c r="A29" s="5" t="s">
        <v>81</v>
      </c>
      <c r="B29" s="6" t="s">
        <v>82</v>
      </c>
      <c r="C29" s="7" t="s">
        <v>83</v>
      </c>
      <c r="D29" s="8"/>
      <c r="E29" s="8"/>
      <c r="F29" s="8"/>
      <c r="G29" s="8"/>
      <c r="H29" s="8"/>
      <c r="I29" s="8"/>
      <c r="J29" s="9"/>
    </row>
    <row r="30" customFormat="false" ht="23.85" hidden="false" customHeight="false" outlineLevel="0" collapsed="false">
      <c r="A30" s="5" t="s">
        <v>84</v>
      </c>
      <c r="B30" s="6" t="s">
        <v>85</v>
      </c>
      <c r="C30" s="7" t="s">
        <v>86</v>
      </c>
      <c r="D30" s="8"/>
      <c r="E30" s="8"/>
      <c r="F30" s="8"/>
      <c r="G30" s="8"/>
      <c r="H30" s="8"/>
      <c r="I30" s="8"/>
      <c r="J30" s="9"/>
    </row>
    <row r="31" customFormat="false" ht="15" hidden="false" customHeight="false" outlineLevel="0" collapsed="false">
      <c r="A31" s="5" t="s">
        <v>87</v>
      </c>
      <c r="B31" s="6" t="s">
        <v>88</v>
      </c>
      <c r="C31" s="7" t="s">
        <v>41</v>
      </c>
      <c r="D31" s="8"/>
      <c r="E31" s="8"/>
      <c r="F31" s="8"/>
      <c r="G31" s="8"/>
      <c r="H31" s="8"/>
      <c r="I31" s="8"/>
      <c r="J31" s="9"/>
    </row>
  </sheetData>
  <mergeCells count="7">
    <mergeCell ref="A1:J1"/>
    <mergeCell ref="A2:J2"/>
    <mergeCell ref="A4:J4"/>
    <mergeCell ref="A9:J9"/>
    <mergeCell ref="A15:J15"/>
    <mergeCell ref="A21:J21"/>
    <mergeCell ref="A26:J26"/>
  </mergeCells>
  <dataValidations count="1">
    <dataValidation allowBlank="true" errorStyle="stop" operator="between" prompt="✓ Pass / ✗ Fail / — N/A" promptTitle="Result" showDropDown="false" showErrorMessage="false" showInputMessage="false" sqref="D5:I8 D10:I14 D16:I20 D22:I25 D27:I31" type="list">
      <formula1>"✓ Pass,✗ Fail,— 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4" t="s">
        <v>89</v>
      </c>
      <c r="B1" s="14"/>
      <c r="C1" s="14"/>
      <c r="D1" s="14"/>
      <c r="E1" s="14"/>
      <c r="F1" s="14"/>
      <c r="G1" s="14"/>
      <c r="H1" s="14"/>
    </row>
    <row r="3" customFormat="false" ht="15" hidden="false" customHeight="false" outlineLevel="0" collapsed="false">
      <c r="A3" s="15" t="s">
        <v>90</v>
      </c>
      <c r="B3" s="15" t="s">
        <v>16</v>
      </c>
      <c r="C3" s="15" t="s">
        <v>17</v>
      </c>
      <c r="D3" s="15" t="s">
        <v>18</v>
      </c>
      <c r="E3" s="15" t="s">
        <v>91</v>
      </c>
    </row>
    <row r="4" customFormat="false" ht="15" hidden="false" customHeight="false" outlineLevel="0" collapsed="false">
      <c r="A4" s="16" t="s">
        <v>5</v>
      </c>
      <c r="B4" s="16" t="n">
        <f aca="false">COUNTIF(Review!D5:D31,"✓ Pass")</f>
        <v>1</v>
      </c>
      <c r="C4" s="17" t="n">
        <f aca="false">COUNTIF(Review!D5:D31,"✗ Fail")</f>
        <v>0</v>
      </c>
      <c r="D4" s="16" t="n">
        <f aca="false">COUNTIF(Review!D5:D31,"— N/A")</f>
        <v>0</v>
      </c>
      <c r="E4" s="18" t="n">
        <f aca="false">23-B4-C4-D4</f>
        <v>22</v>
      </c>
    </row>
    <row r="5" customFormat="false" ht="15" hidden="false" customHeight="false" outlineLevel="0" collapsed="false">
      <c r="A5" s="16" t="s">
        <v>6</v>
      </c>
      <c r="B5" s="16" t="n">
        <f aca="false">COUNTIF(Review!E5:E31,"✓ Pass")</f>
        <v>1</v>
      </c>
      <c r="C5" s="17" t="n">
        <f aca="false">COUNTIF(Review!E5:E31,"✗ Fail")</f>
        <v>0</v>
      </c>
      <c r="D5" s="16" t="n">
        <f aca="false">COUNTIF(Review!E5:E31,"— N/A")</f>
        <v>0</v>
      </c>
      <c r="E5" s="18" t="n">
        <f aca="false">23-B5-C5-D5</f>
        <v>22</v>
      </c>
    </row>
    <row r="6" customFormat="false" ht="15" hidden="false" customHeight="false" outlineLevel="0" collapsed="false">
      <c r="A6" s="16" t="s">
        <v>7</v>
      </c>
      <c r="B6" s="16" t="n">
        <f aca="false">COUNTIF(Review!F5:F31,"✓ Pass")</f>
        <v>0</v>
      </c>
      <c r="C6" s="17" t="n">
        <f aca="false">COUNTIF(Review!F5:F31,"✗ Fail")</f>
        <v>1</v>
      </c>
      <c r="D6" s="16" t="n">
        <f aca="false">COUNTIF(Review!F5:F31,"— N/A")</f>
        <v>0</v>
      </c>
      <c r="E6" s="18" t="n">
        <f aca="false">23-B6-C6-D6</f>
        <v>22</v>
      </c>
    </row>
    <row r="7" customFormat="false" ht="15" hidden="false" customHeight="false" outlineLevel="0" collapsed="false">
      <c r="A7" s="16" t="s">
        <v>8</v>
      </c>
      <c r="B7" s="16" t="n">
        <f aca="false">COUNTIF(Review!G5:G31,"✓ Pass")</f>
        <v>1</v>
      </c>
      <c r="C7" s="17" t="n">
        <f aca="false">COUNTIF(Review!G5:G31,"✗ Fail")</f>
        <v>0</v>
      </c>
      <c r="D7" s="16" t="n">
        <f aca="false">COUNTIF(Review!G5:G31,"— N/A")</f>
        <v>0</v>
      </c>
      <c r="E7" s="18" t="n">
        <f aca="false">23-B7-C7-D7</f>
        <v>22</v>
      </c>
    </row>
    <row r="8" customFormat="false" ht="15" hidden="false" customHeight="false" outlineLevel="0" collapsed="false">
      <c r="A8" s="16" t="s">
        <v>9</v>
      </c>
      <c r="B8" s="16" t="n">
        <f aca="false">COUNTIF(Review!H5:H31,"✓ Pass")</f>
        <v>0</v>
      </c>
      <c r="C8" s="17" t="n">
        <f aca="false">COUNTIF(Review!H5:H31,"✗ Fail")</f>
        <v>0</v>
      </c>
      <c r="D8" s="16" t="n">
        <f aca="false">COUNTIF(Review!H5:H31,"— N/A")</f>
        <v>1</v>
      </c>
      <c r="E8" s="18" t="n">
        <f aca="false">23-B8-C8-D8</f>
        <v>22</v>
      </c>
    </row>
    <row r="9" customFormat="false" ht="15" hidden="false" customHeight="false" outlineLevel="0" collapsed="false">
      <c r="A9" s="16" t="s">
        <v>10</v>
      </c>
      <c r="B9" s="16" t="n">
        <f aca="false">COUNTIF(Review!I5:I31,"✓ Pass")</f>
        <v>1</v>
      </c>
      <c r="C9" s="17" t="n">
        <f aca="false">COUNTIF(Review!I5:I31,"✗ Fail")</f>
        <v>0</v>
      </c>
      <c r="D9" s="16" t="n">
        <f aca="false">COUNTIF(Review!I5:I31,"— N/A")</f>
        <v>0</v>
      </c>
      <c r="E9" s="18" t="n">
        <f aca="false">23-B9-C9-D9</f>
        <v>22</v>
      </c>
    </row>
    <row r="11" customFormat="false" ht="15" hidden="false" customHeight="false" outlineLevel="0" collapsed="false">
      <c r="A11" s="19" t="s">
        <v>92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2026-08-12T14:45:28Z</dcterms:created>
  <dc:creator>openpyxl</dc:creator>
  <dc:description/>
  <dc:language>en-US</dc:language>
  <cp:lastModifiedBy/>
  <dcterms:modified xsi:type="dcterms:W3CDTF">2026-08-12T14:45:28Z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