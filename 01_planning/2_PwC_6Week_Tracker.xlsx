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z_us/Documents/Deaf_life_plan/Portofilo/Google_UX_design/NF2_case/01_planning/"/>
    </mc:Choice>
  </mc:AlternateContent>
  <xr:revisionPtr revIDLastSave="0" documentId="13_ncr:1_{9F498467-CCF1-964D-BC9D-FCA5F049B2D0}" xr6:coauthVersionLast="47" xr6:coauthVersionMax="47" xr10:uidLastSave="{00000000-0000-0000-0000-000000000000}"/>
  <bookViews>
    <workbookView xWindow="10800" yWindow="4640" windowWidth="22940" windowHeight="16960" tabRatio="500" xr2:uid="{00000000-000D-0000-FFFF-FFFF00000000}"/>
  </bookViews>
  <sheets>
    <sheet name="Tracker" sheetId="1" r:id="rId1"/>
    <sheet name="Summary" sheetId="2" r:id="rId2"/>
  </sheets>
  <definedNames>
    <definedName name="_xlnm._FilterDatabase" localSheetId="0" hidden="1">Tracker!$A$1:$I$29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10" i="2"/>
  <c r="B9" i="2"/>
</calcChain>
</file>

<file path=xl/sharedStrings.xml><?xml version="1.0" encoding="utf-8"?>
<sst xmlns="http://schemas.openxmlformats.org/spreadsheetml/2006/main" count="224" uniqueCount="129">
  <si>
    <t>Week</t>
  </si>
  <si>
    <t>Dates</t>
  </si>
  <si>
    <t>Phase</t>
  </si>
  <si>
    <t>ID</t>
  </si>
  <si>
    <t>Task</t>
  </si>
  <si>
    <t>Owner</t>
  </si>
  <si>
    <t>Deliverable</t>
  </si>
  <si>
    <t>Status</t>
  </si>
  <si>
    <t>Notes</t>
  </si>
  <si>
    <t>Jul 20-26</t>
  </si>
  <si>
    <t>Define</t>
  </si>
  <si>
    <t>1.1</t>
  </si>
  <si>
    <t>Kickoff: survey insights + Empathy_canvas walkthrough</t>
  </si>
  <si>
    <t>Echo</t>
  </si>
  <si>
    <t>30-min walkthrough</t>
  </si>
  <si>
    <t>Not started</t>
  </si>
  <si>
    <t>1.2</t>
  </si>
  <si>
    <t>Converge: pick 1 primary + 1 secondary persona; problem statements via PHV template</t>
  </si>
  <si>
    <t>All</t>
  </si>
  <si>
    <t>Rationale + Skeleton s2</t>
  </si>
  <si>
    <t>1.3</t>
  </si>
  <si>
    <t>Hypothesis + value proposition (fill PHV template)</t>
  </si>
  <si>
    <t>Yiran</t>
  </si>
  <si>
    <t>Filled PHV canvas</t>
  </si>
  <si>
    <t>1.4</t>
  </si>
  <si>
    <t>Goal statement (Ideate template)</t>
  </si>
  <si>
    <t>Goal statement</t>
  </si>
  <si>
    <t>1.5</t>
  </si>
  <si>
    <t>Medical accuracy pass on selected personas + journeys</t>
  </si>
  <si>
    <t>Shengxuan</t>
  </si>
  <si>
    <t>Reviewed canvases</t>
  </si>
  <si>
    <t>1.6</t>
  </si>
  <si>
    <t>Figma setup: structure, tokens, accessibility checklist</t>
  </si>
  <si>
    <t>Figma workspace ready</t>
  </si>
  <si>
    <t>1.7</t>
  </si>
  <si>
    <t>Confirm mid-pre date &amp; format with PwC</t>
  </si>
  <si>
    <t>Date locked</t>
  </si>
  <si>
    <t>Jul 27-Aug 2</t>
  </si>
  <si>
    <t>Ideate/Lo-fi</t>
  </si>
  <si>
    <t>2.1</t>
  </si>
  <si>
    <t>HMW list + sketches</t>
  </si>
  <si>
    <t>2.2</t>
  </si>
  <si>
    <t>Flowchart</t>
  </si>
  <si>
    <t>2.3</t>
  </si>
  <si>
    <t>Lo-fi wireframes, 5 locked screens</t>
  </si>
  <si>
    <t>Lo-fi set in 04_design</t>
  </si>
  <si>
    <t>2.4</t>
  </si>
  <si>
    <t>Doctor-summary content model (bilingual field spec)</t>
  </si>
  <si>
    <t>Summary field spec</t>
  </si>
  <si>
    <t>2.5</t>
  </si>
  <si>
    <t>Aug 3-9</t>
  </si>
  <si>
    <t>Hi-fi + Mid-pre</t>
  </si>
  <si>
    <t>3.1</t>
  </si>
  <si>
    <t>Hi-fi design system + Home &amp; Timeline screens</t>
  </si>
  <si>
    <t>Figma frames</t>
  </si>
  <si>
    <t>3.2</t>
  </si>
  <si>
    <t>Mid-pre deck (CN): research -&gt; problem -&gt; lo-fi -&gt; next</t>
  </si>
  <si>
    <t>Deck in collab/</t>
  </si>
  <si>
    <t>3.2b</t>
  </si>
  <si>
    <t>CN versions of mid-pre canvases (persona, journey, empathy map)</t>
  </si>
  <si>
    <t>CN canvas exports</t>
  </si>
  <si>
    <t>3.3</t>
  </si>
  <si>
    <t>Mid-pre rehearsal + MID-PRESENTATION (Fri Aug 7, TBC)</t>
  </si>
  <si>
    <t>Delivered mid-pre</t>
  </si>
  <si>
    <t>3.4</t>
  </si>
  <si>
    <t>Recruit 5-7 usability-test participants (Q11 pool)</t>
  </si>
  <si>
    <t>Confirmed list</t>
  </si>
  <si>
    <t>Aug 10-16</t>
  </si>
  <si>
    <t>Hi-fi</t>
  </si>
  <si>
    <t>4.1</t>
  </si>
  <si>
    <t>Figma prototype link</t>
  </si>
  <si>
    <t>4.2</t>
  </si>
  <si>
    <t>Real NF2 medical content into screens</t>
  </si>
  <si>
    <t>Content in Figma</t>
  </si>
  <si>
    <t>4.3</t>
  </si>
  <si>
    <t>Accessibility review of hi-fi</t>
  </si>
  <si>
    <t>Review report</t>
  </si>
  <si>
    <t>4.4</t>
  </si>
  <si>
    <t>Usability test plan + accessible task script</t>
  </si>
  <si>
    <t>Test script</t>
  </si>
  <si>
    <t>Aug 17-23</t>
  </si>
  <si>
    <t>Test/Iterate</t>
  </si>
  <si>
    <t>5.1</t>
  </si>
  <si>
    <t>Run 5 moderated usability tests</t>
  </si>
  <si>
    <t>Notes per participant</t>
  </si>
  <si>
    <t>5.2</t>
  </si>
  <si>
    <t>Synthesize findings -&gt; P0/P1/P2 fix list</t>
  </si>
  <si>
    <t>Findings report</t>
  </si>
  <si>
    <t>5.3</t>
  </si>
  <si>
    <t>Iterate P0 fixes in prototype</t>
  </si>
  <si>
    <t>Updated prototype</t>
  </si>
  <si>
    <t>Aug 24-30</t>
  </si>
  <si>
    <t>Finalize</t>
  </si>
  <si>
    <t>6.1</t>
  </si>
  <si>
    <t>Product roadmap 1-pager (community/research/records)</t>
  </si>
  <si>
    <t>Roadmap 1-pager</t>
  </si>
  <si>
    <t>6.2</t>
  </si>
  <si>
    <t>Final defense deck (CN)</t>
  </si>
  <si>
    <t>Deck v1 in collab/</t>
  </si>
  <si>
    <t>6.3</t>
  </si>
  <si>
    <t>Design documentation package (CN + EN)</t>
  </si>
  <si>
    <t>Doc package</t>
  </si>
  <si>
    <t>6.4</t>
  </si>
  <si>
    <t>Retro + September defense rehearsal schedule</t>
  </si>
  <si>
    <t>Rehearsal schedule</t>
  </si>
  <si>
    <t>MediPort - PwC 6-Week Plan (Jul 20 - Aug 30, 2026)</t>
  </si>
  <si>
    <t>Mid-presentation</t>
  </si>
  <si>
    <t>Fri Aug 7 (placeholder - confirm with PwC)</t>
  </si>
  <si>
    <t>Final defense</t>
  </si>
  <si>
    <t>September, date TBD</t>
  </si>
  <si>
    <t>Weekly sync</t>
  </si>
  <si>
    <t>Sunday evening, 60 min</t>
  </si>
  <si>
    <t>Echo capacity</t>
  </si>
  <si>
    <t>Full Week 1; 5-8 hrs/wk from Jul 27 (semester)</t>
  </si>
  <si>
    <t>Locked scope</t>
  </si>
  <si>
    <t>5 screens: Home, Log Event, Timeline, Generate Summary, Summary view; AI ingestion roadmap-only</t>
  </si>
  <si>
    <t>Tasks by owner</t>
  </si>
  <si>
    <t>Done / total</t>
  </si>
  <si>
    <t>How to use: update Status (dropdown) on Tracker. Owner colors: blue=Echo, green=Yiran, gold=Shengxuan, purple=All. Source: 01_planning/2_PwC_6Week_Plan.md</t>
  </si>
  <si>
    <t>Done</t>
  </si>
  <si>
    <t>Dropped</t>
  </si>
  <si>
    <t>In progress</t>
  </si>
  <si>
    <t>w3</t>
  </si>
  <si>
    <t>Goal Statements + Crazy Eights workshop</t>
  </si>
  <si>
    <t>IA + User flow: Log Event -&gt; Timeline -&gt; Summary</t>
  </si>
  <si>
    <t>Competitor Audit</t>
  </si>
  <si>
    <t>Sheet</t>
  </si>
  <si>
    <t>Blocked</t>
  </si>
  <si>
    <t>Remaining several hi-fi screens + clickable prototype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</si>
</sst>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2E74B5"/>
      <name val="Arial"/>
      <family val="2"/>
    </font>
    <font>
      <b/>
      <sz val="10"/>
      <color rgb="FF7030A0"/>
      <name val="Arial"/>
      <family val="2"/>
    </font>
    <font>
      <b/>
      <sz val="10"/>
      <color rgb="FF548235"/>
      <name val="Arial"/>
      <family val="2"/>
    </font>
    <font>
      <b/>
      <sz val="10"/>
      <color rgb="FFBF8F00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4"/>
      <color rgb="FFFFFFFF"/>
      <name val="Arial"/>
      <family val="2"/>
    </font>
    <font>
      <sz val="16"/>
      <name val="Arial"/>
      <family val="2"/>
    </font>
    <font>
      <b/>
      <sz val="16"/>
      <color rgb="FF2E74B5"/>
      <name val="Arial"/>
      <family val="2"/>
    </font>
    <font>
      <b/>
      <sz val="16"/>
      <color rgb="FF7030A0"/>
      <name val="Arial"/>
      <family val="2"/>
    </font>
    <font>
      <b/>
      <sz val="16"/>
      <color rgb="FF548235"/>
      <name val="Arial"/>
      <family val="2"/>
    </font>
    <font>
      <b/>
      <sz val="16"/>
      <color rgb="FFBF8F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6"/>
        <bgColor rgb="FFE4DFEC"/>
      </patternFill>
    </fill>
    <fill>
      <patternFill patternType="solid">
        <fgColor rgb="FFE2EFDA"/>
        <bgColor rgb="FFDEEAF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EEAF6"/>
      </patternFill>
    </fill>
    <fill>
      <patternFill patternType="solid">
        <fgColor rgb="FFD9D9D9"/>
        <bgColor rgb="FFE4DFEC"/>
      </patternFill>
    </fill>
    <fill>
      <patternFill patternType="solid">
        <fgColor rgb="FFDEEAF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/>
    <xf numFmtId="0" fontId="10" fillId="0" borderId="2" xfId="0" applyFont="1" applyBorder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3" fillId="9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="75" zoomScaleNormal="100" workbookViewId="0">
      <pane ySplit="1" topLeftCell="A2" activePane="bottomLeft" state="frozen"/>
      <selection pane="bottomLeft" activeCell="H24" sqref="H24"/>
    </sheetView>
  </sheetViews>
  <sheetFormatPr baseColWidth="10" defaultColWidth="8.6640625" defaultRowHeight="15" x14ac:dyDescent="0.2"/>
  <cols>
    <col min="1" max="1" width="14.33203125" bestFit="1" customWidth="1"/>
    <col min="2" max="2" width="16.6640625" bestFit="1" customWidth="1"/>
    <col min="3" max="3" width="18.33203125" bestFit="1" customWidth="1"/>
    <col min="4" max="4" width="8.5" bestFit="1" customWidth="1"/>
    <col min="5" max="5" width="107.5" bestFit="1" customWidth="1"/>
    <col min="6" max="6" width="16.1640625" bestFit="1" customWidth="1"/>
    <col min="7" max="7" width="30.33203125" bestFit="1" customWidth="1"/>
    <col min="8" max="8" width="14.33203125" bestFit="1" customWidth="1"/>
    <col min="9" max="9" width="11.33203125" bestFit="1" customWidth="1"/>
  </cols>
  <sheetData>
    <row r="1" spans="1:9" ht="23" x14ac:dyDescent="0.2">
      <c r="A1" s="12" t="s">
        <v>0</v>
      </c>
      <c r="B1" s="1" t="s">
        <v>1</v>
      </c>
      <c r="C1" s="1" t="s">
        <v>2</v>
      </c>
      <c r="D1" s="1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" x14ac:dyDescent="0.2">
      <c r="A2" s="14">
        <v>1</v>
      </c>
      <c r="B2" s="15" t="s">
        <v>9</v>
      </c>
      <c r="C2" s="15" t="s">
        <v>10</v>
      </c>
      <c r="D2" s="16" t="s">
        <v>11</v>
      </c>
      <c r="E2" s="15" t="s">
        <v>12</v>
      </c>
      <c r="F2" s="17" t="s">
        <v>13</v>
      </c>
      <c r="G2" s="15" t="s">
        <v>14</v>
      </c>
      <c r="H2" s="15" t="s">
        <v>119</v>
      </c>
      <c r="I2" s="2"/>
    </row>
    <row r="3" spans="1:9" ht="20" x14ac:dyDescent="0.2">
      <c r="A3" s="14">
        <v>1</v>
      </c>
      <c r="B3" s="15" t="s">
        <v>9</v>
      </c>
      <c r="C3" s="15" t="s">
        <v>10</v>
      </c>
      <c r="D3" s="16" t="s">
        <v>16</v>
      </c>
      <c r="E3" s="15" t="s">
        <v>17</v>
      </c>
      <c r="F3" s="18" t="s">
        <v>18</v>
      </c>
      <c r="G3" s="15" t="s">
        <v>19</v>
      </c>
      <c r="H3" s="15" t="s">
        <v>119</v>
      </c>
      <c r="I3" s="2"/>
    </row>
    <row r="4" spans="1:9" ht="20" x14ac:dyDescent="0.2">
      <c r="A4" s="14">
        <v>1</v>
      </c>
      <c r="B4" s="15" t="s">
        <v>9</v>
      </c>
      <c r="C4" s="15" t="s">
        <v>10</v>
      </c>
      <c r="D4" s="16" t="s">
        <v>20</v>
      </c>
      <c r="E4" s="15" t="s">
        <v>21</v>
      </c>
      <c r="F4" s="19" t="s">
        <v>22</v>
      </c>
      <c r="G4" s="15" t="s">
        <v>23</v>
      </c>
      <c r="H4" s="15" t="s">
        <v>120</v>
      </c>
      <c r="I4" s="2"/>
    </row>
    <row r="5" spans="1:9" ht="20" x14ac:dyDescent="0.2">
      <c r="A5" s="14">
        <v>1</v>
      </c>
      <c r="B5" s="15" t="s">
        <v>9</v>
      </c>
      <c r="C5" s="15" t="s">
        <v>10</v>
      </c>
      <c r="D5" s="16" t="s">
        <v>24</v>
      </c>
      <c r="E5" s="15" t="s">
        <v>25</v>
      </c>
      <c r="F5" s="17" t="s">
        <v>13</v>
      </c>
      <c r="G5" s="15" t="s">
        <v>26</v>
      </c>
      <c r="H5" s="15" t="s">
        <v>119</v>
      </c>
      <c r="I5" s="2"/>
    </row>
    <row r="6" spans="1:9" ht="20" x14ac:dyDescent="0.2">
      <c r="A6" s="14">
        <v>1</v>
      </c>
      <c r="B6" s="15" t="s">
        <v>9</v>
      </c>
      <c r="C6" s="15" t="s">
        <v>10</v>
      </c>
      <c r="D6" s="16" t="s">
        <v>27</v>
      </c>
      <c r="E6" s="15" t="s">
        <v>28</v>
      </c>
      <c r="F6" s="20" t="s">
        <v>29</v>
      </c>
      <c r="G6" s="15" t="s">
        <v>30</v>
      </c>
      <c r="H6" s="15" t="s">
        <v>120</v>
      </c>
      <c r="I6" s="2"/>
    </row>
    <row r="7" spans="1:9" ht="20" x14ac:dyDescent="0.2">
      <c r="A7" s="14">
        <v>1</v>
      </c>
      <c r="B7" s="15" t="s">
        <v>9</v>
      </c>
      <c r="C7" s="15" t="s">
        <v>10</v>
      </c>
      <c r="D7" s="16" t="s">
        <v>31</v>
      </c>
      <c r="E7" s="15" t="s">
        <v>32</v>
      </c>
      <c r="F7" s="17" t="s">
        <v>13</v>
      </c>
      <c r="G7" s="15" t="s">
        <v>33</v>
      </c>
      <c r="H7" s="15" t="s">
        <v>121</v>
      </c>
      <c r="I7" s="2"/>
    </row>
    <row r="8" spans="1:9" ht="20" x14ac:dyDescent="0.2">
      <c r="A8" s="21">
        <v>1</v>
      </c>
      <c r="B8" s="22" t="s">
        <v>9</v>
      </c>
      <c r="C8" s="22" t="s">
        <v>10</v>
      </c>
      <c r="D8" s="23" t="s">
        <v>34</v>
      </c>
      <c r="E8" s="22" t="s">
        <v>35</v>
      </c>
      <c r="F8" s="24" t="s">
        <v>13</v>
      </c>
      <c r="G8" s="22" t="s">
        <v>36</v>
      </c>
      <c r="H8" s="22" t="s">
        <v>119</v>
      </c>
      <c r="I8" s="32" t="s">
        <v>122</v>
      </c>
    </row>
    <row r="9" spans="1:9" ht="20" x14ac:dyDescent="0.2">
      <c r="A9" s="25">
        <v>2</v>
      </c>
      <c r="B9" s="15" t="s">
        <v>37</v>
      </c>
      <c r="C9" s="15" t="s">
        <v>38</v>
      </c>
      <c r="D9" s="16" t="s">
        <v>39</v>
      </c>
      <c r="E9" s="15" t="s">
        <v>123</v>
      </c>
      <c r="F9" s="18" t="s">
        <v>18</v>
      </c>
      <c r="G9" s="15" t="s">
        <v>40</v>
      </c>
      <c r="H9" s="15" t="s">
        <v>119</v>
      </c>
      <c r="I9" s="2"/>
    </row>
    <row r="10" spans="1:9" ht="20" x14ac:dyDescent="0.2">
      <c r="A10" s="25">
        <v>2</v>
      </c>
      <c r="B10" s="15" t="s">
        <v>37</v>
      </c>
      <c r="C10" s="15" t="s">
        <v>38</v>
      </c>
      <c r="D10" s="16" t="s">
        <v>41</v>
      </c>
      <c r="E10" s="15" t="s">
        <v>124</v>
      </c>
      <c r="F10" s="20" t="s">
        <v>29</v>
      </c>
      <c r="G10" s="15" t="s">
        <v>42</v>
      </c>
      <c r="H10" s="15" t="s">
        <v>121</v>
      </c>
      <c r="I10" s="2"/>
    </row>
    <row r="11" spans="1:9" ht="20" x14ac:dyDescent="0.2">
      <c r="A11" s="25">
        <v>2</v>
      </c>
      <c r="B11" s="15" t="s">
        <v>37</v>
      </c>
      <c r="C11" s="15" t="s">
        <v>38</v>
      </c>
      <c r="D11" s="16" t="s">
        <v>43</v>
      </c>
      <c r="E11" s="15" t="s">
        <v>44</v>
      </c>
      <c r="F11" s="17" t="s">
        <v>13</v>
      </c>
      <c r="G11" s="15" t="s">
        <v>45</v>
      </c>
      <c r="H11" s="15" t="s">
        <v>15</v>
      </c>
      <c r="I11" s="2"/>
    </row>
    <row r="12" spans="1:9" ht="20" x14ac:dyDescent="0.2">
      <c r="A12" s="25">
        <v>2</v>
      </c>
      <c r="B12" s="15" t="s">
        <v>37</v>
      </c>
      <c r="C12" s="15" t="s">
        <v>38</v>
      </c>
      <c r="D12" s="16" t="s">
        <v>46</v>
      </c>
      <c r="E12" s="15" t="s">
        <v>47</v>
      </c>
      <c r="F12" s="20" t="s">
        <v>29</v>
      </c>
      <c r="G12" s="15" t="s">
        <v>48</v>
      </c>
      <c r="H12" s="15" t="s">
        <v>15</v>
      </c>
      <c r="I12" s="2"/>
    </row>
    <row r="13" spans="1:9" ht="20" x14ac:dyDescent="0.2">
      <c r="A13" s="25">
        <v>2</v>
      </c>
      <c r="B13" s="15" t="s">
        <v>37</v>
      </c>
      <c r="C13" s="15" t="s">
        <v>38</v>
      </c>
      <c r="D13" s="16" t="s">
        <v>49</v>
      </c>
      <c r="E13" s="15" t="s">
        <v>125</v>
      </c>
      <c r="F13" s="19" t="s">
        <v>22</v>
      </c>
      <c r="G13" s="15" t="s">
        <v>126</v>
      </c>
      <c r="H13" s="15" t="s">
        <v>119</v>
      </c>
      <c r="I13" s="2"/>
    </row>
    <row r="14" spans="1:9" ht="20" x14ac:dyDescent="0.2">
      <c r="A14" s="26">
        <v>3</v>
      </c>
      <c r="B14" s="15" t="s">
        <v>50</v>
      </c>
      <c r="C14" s="15" t="s">
        <v>51</v>
      </c>
      <c r="D14" s="16" t="s">
        <v>52</v>
      </c>
      <c r="E14" s="15" t="s">
        <v>53</v>
      </c>
      <c r="F14" s="17" t="s">
        <v>13</v>
      </c>
      <c r="G14" s="15" t="s">
        <v>54</v>
      </c>
      <c r="H14" s="15" t="s">
        <v>121</v>
      </c>
      <c r="I14" s="2"/>
    </row>
    <row r="15" spans="1:9" ht="20" x14ac:dyDescent="0.2">
      <c r="A15" s="26">
        <v>3</v>
      </c>
      <c r="B15" s="15" t="s">
        <v>50</v>
      </c>
      <c r="C15" s="15" t="s">
        <v>51</v>
      </c>
      <c r="D15" s="16" t="s">
        <v>55</v>
      </c>
      <c r="E15" s="15" t="s">
        <v>56</v>
      </c>
      <c r="F15" s="19" t="s">
        <v>22</v>
      </c>
      <c r="G15" s="15" t="s">
        <v>57</v>
      </c>
      <c r="H15" s="15" t="s">
        <v>119</v>
      </c>
      <c r="I15" s="2"/>
    </row>
    <row r="16" spans="1:9" ht="20" x14ac:dyDescent="0.2">
      <c r="A16" s="27">
        <v>3</v>
      </c>
      <c r="B16" s="22" t="s">
        <v>50</v>
      </c>
      <c r="C16" s="22" t="s">
        <v>51</v>
      </c>
      <c r="D16" s="23" t="s">
        <v>58</v>
      </c>
      <c r="E16" s="22" t="s">
        <v>59</v>
      </c>
      <c r="F16" s="28" t="s">
        <v>22</v>
      </c>
      <c r="G16" s="22" t="s">
        <v>60</v>
      </c>
      <c r="H16" s="22" t="s">
        <v>119</v>
      </c>
      <c r="I16" s="11"/>
    </row>
    <row r="17" spans="1:9" ht="20" x14ac:dyDescent="0.2">
      <c r="A17" s="26">
        <v>3</v>
      </c>
      <c r="B17" s="15" t="s">
        <v>50</v>
      </c>
      <c r="C17" s="15" t="s">
        <v>51</v>
      </c>
      <c r="D17" s="16" t="s">
        <v>61</v>
      </c>
      <c r="E17" s="15" t="s">
        <v>62</v>
      </c>
      <c r="F17" s="18" t="s">
        <v>18</v>
      </c>
      <c r="G17" s="15" t="s">
        <v>63</v>
      </c>
      <c r="H17" s="15" t="s">
        <v>119</v>
      </c>
      <c r="I17" s="2"/>
    </row>
    <row r="18" spans="1:9" ht="20" x14ac:dyDescent="0.2">
      <c r="A18" s="26">
        <v>3</v>
      </c>
      <c r="B18" s="15" t="s">
        <v>50</v>
      </c>
      <c r="C18" s="15" t="s">
        <v>51</v>
      </c>
      <c r="D18" s="16" t="s">
        <v>64</v>
      </c>
      <c r="E18" s="15" t="s">
        <v>65</v>
      </c>
      <c r="F18" s="20" t="s">
        <v>29</v>
      </c>
      <c r="G18" s="15" t="s">
        <v>66</v>
      </c>
      <c r="H18" s="15" t="s">
        <v>127</v>
      </c>
      <c r="I18" s="2"/>
    </row>
    <row r="19" spans="1:9" ht="20" x14ac:dyDescent="0.2">
      <c r="A19" s="29">
        <v>4</v>
      </c>
      <c r="B19" s="15" t="s">
        <v>67</v>
      </c>
      <c r="C19" s="15" t="s">
        <v>68</v>
      </c>
      <c r="D19" s="16" t="s">
        <v>69</v>
      </c>
      <c r="E19" s="15" t="s">
        <v>128</v>
      </c>
      <c r="F19" s="17" t="s">
        <v>13</v>
      </c>
      <c r="G19" s="15" t="s">
        <v>70</v>
      </c>
      <c r="H19" s="15" t="s">
        <v>121</v>
      </c>
      <c r="I19" s="2"/>
    </row>
    <row r="20" spans="1:9" ht="20" x14ac:dyDescent="0.2">
      <c r="A20" s="29">
        <v>4</v>
      </c>
      <c r="B20" s="15" t="s">
        <v>67</v>
      </c>
      <c r="C20" s="15" t="s">
        <v>68</v>
      </c>
      <c r="D20" s="16" t="s">
        <v>71</v>
      </c>
      <c r="E20" s="15" t="s">
        <v>72</v>
      </c>
      <c r="F20" s="20" t="s">
        <v>29</v>
      </c>
      <c r="G20" s="15" t="s">
        <v>73</v>
      </c>
      <c r="H20" s="15" t="s">
        <v>119</v>
      </c>
      <c r="I20" s="2"/>
    </row>
    <row r="21" spans="1:9" ht="20" x14ac:dyDescent="0.2">
      <c r="A21" s="29">
        <v>4</v>
      </c>
      <c r="B21" s="15" t="s">
        <v>67</v>
      </c>
      <c r="C21" s="15" t="s">
        <v>68</v>
      </c>
      <c r="D21" s="16" t="s">
        <v>74</v>
      </c>
      <c r="E21" s="15" t="s">
        <v>75</v>
      </c>
      <c r="F21" s="17" t="s">
        <v>13</v>
      </c>
      <c r="G21" s="15" t="s">
        <v>76</v>
      </c>
      <c r="H21" s="15" t="s">
        <v>15</v>
      </c>
      <c r="I21" s="2"/>
    </row>
    <row r="22" spans="1:9" ht="20" x14ac:dyDescent="0.2">
      <c r="A22" s="29">
        <v>4</v>
      </c>
      <c r="B22" s="15" t="s">
        <v>67</v>
      </c>
      <c r="C22" s="15" t="s">
        <v>68</v>
      </c>
      <c r="D22" s="16" t="s">
        <v>77</v>
      </c>
      <c r="E22" s="15" t="s">
        <v>78</v>
      </c>
      <c r="F22" s="17" t="s">
        <v>13</v>
      </c>
      <c r="G22" s="15" t="s">
        <v>79</v>
      </c>
      <c r="H22" s="15" t="s">
        <v>121</v>
      </c>
      <c r="I22" s="2"/>
    </row>
    <row r="23" spans="1:9" ht="20" x14ac:dyDescent="0.2">
      <c r="A23" s="30">
        <v>5</v>
      </c>
      <c r="B23" s="15" t="s">
        <v>80</v>
      </c>
      <c r="C23" s="15" t="s">
        <v>81</v>
      </c>
      <c r="D23" s="16" t="s">
        <v>82</v>
      </c>
      <c r="E23" s="15" t="s">
        <v>83</v>
      </c>
      <c r="F23" s="20" t="s">
        <v>29</v>
      </c>
      <c r="G23" s="15" t="s">
        <v>84</v>
      </c>
      <c r="H23" s="15" t="s">
        <v>15</v>
      </c>
      <c r="I23" s="2"/>
    </row>
    <row r="24" spans="1:9" ht="20" x14ac:dyDescent="0.2">
      <c r="A24" s="30">
        <v>5</v>
      </c>
      <c r="B24" s="15" t="s">
        <v>80</v>
      </c>
      <c r="C24" s="15" t="s">
        <v>81</v>
      </c>
      <c r="D24" s="16" t="s">
        <v>85</v>
      </c>
      <c r="E24" s="15" t="s">
        <v>86</v>
      </c>
      <c r="F24" s="17" t="s">
        <v>13</v>
      </c>
      <c r="G24" s="15" t="s">
        <v>87</v>
      </c>
      <c r="H24" s="15" t="s">
        <v>15</v>
      </c>
      <c r="I24" s="2"/>
    </row>
    <row r="25" spans="1:9" ht="20" x14ac:dyDescent="0.2">
      <c r="A25" s="30">
        <v>5</v>
      </c>
      <c r="B25" s="15" t="s">
        <v>80</v>
      </c>
      <c r="C25" s="15" t="s">
        <v>81</v>
      </c>
      <c r="D25" s="16" t="s">
        <v>88</v>
      </c>
      <c r="E25" s="15" t="s">
        <v>89</v>
      </c>
      <c r="F25" s="17" t="s">
        <v>13</v>
      </c>
      <c r="G25" s="15" t="s">
        <v>90</v>
      </c>
      <c r="H25" s="15" t="s">
        <v>15</v>
      </c>
      <c r="I25" s="2"/>
    </row>
    <row r="26" spans="1:9" ht="20" x14ac:dyDescent="0.2">
      <c r="A26" s="31">
        <v>6</v>
      </c>
      <c r="B26" s="15" t="s">
        <v>91</v>
      </c>
      <c r="C26" s="15" t="s">
        <v>92</v>
      </c>
      <c r="D26" s="16" t="s">
        <v>93</v>
      </c>
      <c r="E26" s="15" t="s">
        <v>94</v>
      </c>
      <c r="F26" s="17" t="s">
        <v>13</v>
      </c>
      <c r="G26" s="15" t="s">
        <v>95</v>
      </c>
      <c r="H26" s="15" t="s">
        <v>15</v>
      </c>
      <c r="I26" s="2"/>
    </row>
    <row r="27" spans="1:9" ht="20" x14ac:dyDescent="0.2">
      <c r="A27" s="31">
        <v>6</v>
      </c>
      <c r="B27" s="15" t="s">
        <v>91</v>
      </c>
      <c r="C27" s="15" t="s">
        <v>92</v>
      </c>
      <c r="D27" s="16" t="s">
        <v>96</v>
      </c>
      <c r="E27" s="15" t="s">
        <v>97</v>
      </c>
      <c r="F27" s="20" t="s">
        <v>29</v>
      </c>
      <c r="G27" s="15" t="s">
        <v>98</v>
      </c>
      <c r="H27" s="15" t="s">
        <v>15</v>
      </c>
      <c r="I27" s="2"/>
    </row>
    <row r="28" spans="1:9" ht="20" x14ac:dyDescent="0.2">
      <c r="A28" s="31">
        <v>6</v>
      </c>
      <c r="B28" s="15" t="s">
        <v>91</v>
      </c>
      <c r="C28" s="15" t="s">
        <v>92</v>
      </c>
      <c r="D28" s="16" t="s">
        <v>99</v>
      </c>
      <c r="E28" s="15" t="s">
        <v>100</v>
      </c>
      <c r="F28" s="18" t="s">
        <v>18</v>
      </c>
      <c r="G28" s="15" t="s">
        <v>101</v>
      </c>
      <c r="H28" s="15" t="s">
        <v>15</v>
      </c>
      <c r="I28" s="2"/>
    </row>
    <row r="29" spans="1:9" ht="20" x14ac:dyDescent="0.2">
      <c r="A29" s="31">
        <v>6</v>
      </c>
      <c r="B29" s="15" t="s">
        <v>91</v>
      </c>
      <c r="C29" s="15" t="s">
        <v>92</v>
      </c>
      <c r="D29" s="16" t="s">
        <v>102</v>
      </c>
      <c r="E29" s="15" t="s">
        <v>103</v>
      </c>
      <c r="F29" s="18" t="s">
        <v>18</v>
      </c>
      <c r="G29" s="15" t="s">
        <v>104</v>
      </c>
      <c r="H29" s="15" t="s">
        <v>15</v>
      </c>
      <c r="I29" s="2"/>
    </row>
  </sheetData>
  <autoFilter ref="A1:I29" xr:uid="{00000000-0009-0000-0000-000000000000}"/>
  <dataValidations count="1">
    <dataValidation type="list" allowBlank="1" sqref="H2:H29" xr:uid="{00000000-0002-0000-0000-000000000000}">
      <formula1>"Not started,In progress,Done,Blocked,Dropped"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2" width="80" customWidth="1"/>
  </cols>
  <sheetData>
    <row r="1" spans="1:2" ht="16.25" customHeight="1" x14ac:dyDescent="0.2">
      <c r="A1" s="3" t="s">
        <v>105</v>
      </c>
    </row>
    <row r="3" spans="1:2" ht="15" customHeight="1" x14ac:dyDescent="0.2">
      <c r="A3" s="4" t="s">
        <v>106</v>
      </c>
      <c r="B3" s="5" t="s">
        <v>107</v>
      </c>
    </row>
    <row r="4" spans="1:2" ht="15" customHeight="1" x14ac:dyDescent="0.2">
      <c r="A4" s="4" t="s">
        <v>108</v>
      </c>
      <c r="B4" s="5" t="s">
        <v>109</v>
      </c>
    </row>
    <row r="5" spans="1:2" ht="15" customHeight="1" x14ac:dyDescent="0.2">
      <c r="A5" s="4" t="s">
        <v>110</v>
      </c>
      <c r="B5" s="5" t="s">
        <v>111</v>
      </c>
    </row>
    <row r="6" spans="1:2" ht="15" customHeight="1" x14ac:dyDescent="0.2">
      <c r="A6" s="4" t="s">
        <v>112</v>
      </c>
      <c r="B6" s="5" t="s">
        <v>113</v>
      </c>
    </row>
    <row r="7" spans="1:2" ht="15" customHeight="1" x14ac:dyDescent="0.2">
      <c r="A7" s="4" t="s">
        <v>114</v>
      </c>
      <c r="B7" s="5" t="s">
        <v>115</v>
      </c>
    </row>
    <row r="8" spans="1:2" ht="15" customHeight="1" x14ac:dyDescent="0.2">
      <c r="A8" s="4" t="s">
        <v>116</v>
      </c>
      <c r="B8" s="5"/>
    </row>
    <row r="9" spans="1:2" ht="15" customHeight="1" x14ac:dyDescent="0.2">
      <c r="A9" s="6" t="s">
        <v>13</v>
      </c>
      <c r="B9" s="5">
        <f>COUNTIF(Tracker!F:F,"Echo")</f>
        <v>12</v>
      </c>
    </row>
    <row r="10" spans="1:2" ht="15" customHeight="1" x14ac:dyDescent="0.2">
      <c r="A10" s="7" t="s">
        <v>22</v>
      </c>
      <c r="B10" s="5">
        <f>COUNTIF(Tracker!F:F,"Yiran")</f>
        <v>4</v>
      </c>
    </row>
    <row r="11" spans="1:2" ht="15" customHeight="1" x14ac:dyDescent="0.2">
      <c r="A11" s="8" t="s">
        <v>29</v>
      </c>
      <c r="B11" s="5">
        <f>COUNTIF(Tracker!F:F,"Shengxuan")</f>
        <v>7</v>
      </c>
    </row>
    <row r="12" spans="1:2" ht="15" customHeight="1" x14ac:dyDescent="0.2">
      <c r="A12" s="9" t="s">
        <v>18</v>
      </c>
      <c r="B12" s="5">
        <f>COUNTIF(Tracker!F:F,"All")</f>
        <v>5</v>
      </c>
    </row>
    <row r="13" spans="1:2" ht="15" customHeight="1" x14ac:dyDescent="0.2">
      <c r="A13" s="4" t="s">
        <v>117</v>
      </c>
      <c r="B13" s="5" t="str">
        <f>COUNTIF(Tracker!H:H,"Done")&amp;" / "&amp;(COUNTA(Tracker!D:D)-1)</f>
        <v>10 / 28</v>
      </c>
    </row>
    <row r="15" spans="1:2" ht="15" customHeight="1" x14ac:dyDescent="0.2">
      <c r="A15" s="10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Echo Zhao</cp:lastModifiedBy>
  <cp:revision>0</cp:revision>
  <dcterms:created xsi:type="dcterms:W3CDTF">2026-07-18T01:53:44Z</dcterms:created>
  <dcterms:modified xsi:type="dcterms:W3CDTF">2026-08-12T14:55:33Z</dcterms:modified>
  <dc:language>en-US</dc:language>
</cp:coreProperties>
</file>